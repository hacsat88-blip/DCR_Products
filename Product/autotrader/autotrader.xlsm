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csa\Desktop\サトシ開発\Product\autotrader\"/>
    </mc:Choice>
  </mc:AlternateContent>
  <xr:revisionPtr revIDLastSave="0" documentId="13_ncr:1_{24C40931-4EC9-4E4E-9386-503DF14FAE6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WatchList" sheetId="1" r:id="rId1"/>
    <sheet name="Config" sheetId="2" r:id="rId2"/>
    <sheet name="Secure" sheetId="3" state="veryHidden" r:id="rId3"/>
  </sheets>
  <functionGroups builtInGroupCount="19"/>
  <calcPr calcId="191029"/>
</workbook>
</file>

<file path=xl/calcChain.xml><?xml version="1.0" encoding="utf-8"?>
<calcChain xmlns="http://schemas.openxmlformats.org/spreadsheetml/2006/main">
  <c r="D6" i="1" l="1"/>
  <c r="C6" i="1"/>
  <c r="D3" i="1"/>
  <c r="B3" i="1"/>
  <c r="B6" i="1"/>
  <c r="D5" i="1"/>
  <c r="C5" i="1"/>
  <c r="B5" i="1"/>
  <c r="D4" i="1"/>
  <c r="B2" i="1"/>
  <c r="D2" i="1"/>
  <c r="C4" i="1"/>
  <c r="B4" i="1"/>
  <c r="C3" i="1"/>
  <c r="C2" i="1"/>
</calcChain>
</file>

<file path=xl/sharedStrings.xml><?xml version="1.0" encoding="utf-8"?>
<sst xmlns="http://schemas.openxmlformats.org/spreadsheetml/2006/main" count="22" uniqueCount="18">
  <si>
    <t>銘柄コード</t>
  </si>
  <si>
    <t>現在値</t>
  </si>
  <si>
    <t>出来高</t>
  </si>
  <si>
    <t>前日終値</t>
  </si>
  <si>
    <t>action</t>
  </si>
  <si>
    <t>更新時刻</t>
  </si>
  <si>
    <t>NTT</t>
  </si>
  <si>
    <t>超流動性・安定・守りの銘柄</t>
  </si>
  <si>
    <t>三菱UFJ</t>
  </si>
  <si>
    <t>出来高トップクラスの銀行株</t>
  </si>
  <si>
    <t>ホンダ</t>
  </si>
  <si>
    <t>自動車・値動きが素直</t>
  </si>
  <si>
    <t>アステラス製薬</t>
  </si>
  <si>
    <t>製薬・比較的安定</t>
  </si>
  <si>
    <t>ゆうちょ銀行</t>
  </si>
  <si>
    <t>銀行・ボラティリティ低め</t>
  </si>
  <si>
    <t>20206C77</t>
  </si>
  <si>
    <t>hold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</si>
</sst>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#,##0_ "/>
    <numFmt numFmtId="178" formatCode="yyyy/mm/dd\ hh:mm:ss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178" fontId="0" fillId="0" borderId="1" xfId="0" applyNumberFormat="1" applyBorder="1" applyAlignment="1">
      <alignment horizontal="center" vertical="center"/>
    </xf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ade9a87623c45afb9243c59c7a02029">
      <tp>
        <v>47220900</v>
        <stp/>
        <stp>Market</stp>
        <stp>STOCK</stp>
        <stp>83060.T</stp>
        <stp>出来高</stp>
        <tr r="C3" s="1"/>
      </tp>
      <tp>
        <v>278152000</v>
        <stp/>
        <stp>Market</stp>
        <stp>STOCK</stp>
        <stp>94320.T</stp>
        <stp>出来高</stp>
        <tr r="C2" s="1"/>
      </tp>
      <tp>
        <v>54232300</v>
        <stp/>
        <stp>Market</stp>
        <stp>STOCK</stp>
        <stp>72670.T</stp>
        <stp>出来高</stp>
        <tr r="C4" s="1"/>
      </tp>
      <tp>
        <v>8438700</v>
        <stp/>
        <stp>Market</stp>
        <stp>STOCK</stp>
        <stp>71820.T</stp>
        <stp>出来高</stp>
        <tr r="C6" s="1"/>
      </tp>
      <tp>
        <v>5823400</v>
        <stp/>
        <stp>Market</stp>
        <stp>STOCK</stp>
        <stp>45030.T</stp>
        <stp>出来高</stp>
        <tr r="C5" s="1"/>
      </tp>
      <tp>
        <v>2929</v>
        <stp/>
        <stp>Market</stp>
        <stp>STOCK</stp>
        <stp>83060.T</stp>
        <stp>現在値</stp>
        <tr r="B3" s="1"/>
      </tp>
      <tp>
        <v>151.80000000000001</v>
        <stp/>
        <stp>Market</stp>
        <stp>STOCK</stp>
        <stp>94320.T</stp>
        <stp>現在値</stp>
        <tr r="B2" s="1"/>
      </tp>
      <tp>
        <v>2367.5</v>
        <stp/>
        <stp>Market</stp>
        <stp>STOCK</stp>
        <stp>45030.T</stp>
        <stp>前日終値</stp>
        <tr r="D5" s="1"/>
      </tp>
      <tp>
        <v>149.6</v>
        <stp/>
        <stp>Market</stp>
        <stp>STOCK</stp>
        <stp>94320.T</stp>
        <stp>前日終値</stp>
        <tr r="D2" s="1"/>
      </tp>
      <tp>
        <v>2835.5</v>
        <stp/>
        <stp>Market</stp>
        <stp>STOCK</stp>
        <stp>71820.T</stp>
        <stp>前日終値</stp>
        <tr r="D6" s="1"/>
      </tp>
      <tp>
        <v>2829</v>
        <stp/>
        <stp>Market</stp>
        <stp>STOCK</stp>
        <stp>71820.T</stp>
        <stp>現在値</stp>
        <tr r="B6" s="1"/>
      </tp>
      <tp>
        <v>1430</v>
        <stp/>
        <stp>Market</stp>
        <stp>STOCK</stp>
        <stp>72670.T</stp>
        <stp>現在値</stp>
        <tr r="B4" s="1"/>
      </tp>
      <tp>
        <v>2324.5</v>
        <stp/>
        <stp>Market</stp>
        <stp>STOCK</stp>
        <stp>45030.T</stp>
        <stp>現在値</stp>
        <tr r="B5" s="1"/>
      </tp>
      <tp>
        <v>2877</v>
        <stp/>
        <stp>Market</stp>
        <stp>STOCK</stp>
        <stp>83060.T</stp>
        <stp>前日終値</stp>
        <tr r="D3" s="1"/>
      </tp>
      <tp>
        <v>1320</v>
        <stp/>
        <stp>Market</stp>
        <stp>STOCK</stp>
        <stp>72670.T</stp>
        <stp>前日終値</stp>
        <tr r="D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11</xdr:row>
          <xdr:rowOff>205740</xdr:rowOff>
        </xdr:from>
        <xdr:to>
          <xdr:col>1</xdr:col>
          <xdr:colOff>22860</xdr:colOff>
          <xdr:row>13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AD816B2-D502-EE40-F8B3-4C10E53DA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▶スタート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</xdr:row>
          <xdr:rowOff>220980</xdr:rowOff>
        </xdr:from>
        <xdr:to>
          <xdr:col>2</xdr:col>
          <xdr:colOff>259080</xdr:colOff>
          <xdr:row>13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C6C8878-49BB-5FC4-6DF8-B1EA0FC3C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■停止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2"/>
  <sheetViews>
    <sheetView tabSelected="1" workbookViewId="0">
      <selection activeCell="E17" sqref="E17"/>
    </sheetView>
  </sheetViews>
  <sheetFormatPr defaultRowHeight="18" x14ac:dyDescent="0.45"/>
  <cols>
    <col min="1" max="1" width="10.3984375" style="1" bestFit="1" customWidth="1"/>
    <col min="2" max="2" width="8.796875" style="1" customWidth="1"/>
    <col min="3" max="3" width="12.09765625" style="1" bestFit="1" customWidth="1"/>
    <col min="4" max="4" width="8.59765625" style="1" bestFit="1" customWidth="1"/>
    <col min="5" max="7" width="8.796875" style="1" customWidth="1"/>
    <col min="8" max="8" width="26.8984375" style="1" customWidth="1"/>
    <col min="9" max="9" width="14.3984375" style="1" bestFit="1" customWidth="1"/>
    <col min="10" max="10" width="26.09765625" style="1" bestFit="1" customWidth="1"/>
    <col min="11" max="11" width="8.796875" style="1" customWidth="1"/>
    <col min="12" max="16384" width="8.796875" style="1"/>
  </cols>
  <sheetData>
    <row r="1" spans="1:10" x14ac:dyDescent="0.45">
      <c r="A1" s="3" t="s">
        <v>0</v>
      </c>
      <c r="B1" s="3" t="s">
        <v>1</v>
      </c>
      <c r="C1" s="3" t="s">
        <v>2</v>
      </c>
      <c r="D1" s="3" t="s">
        <v>3</v>
      </c>
      <c r="E1" s="3"/>
      <c r="F1" s="3"/>
      <c r="G1" s="3" t="s">
        <v>4</v>
      </c>
      <c r="H1" s="3" t="s">
        <v>5</v>
      </c>
      <c r="I1" s="3"/>
      <c r="J1" s="3"/>
    </row>
    <row r="2" spans="1:10" x14ac:dyDescent="0.45">
      <c r="A2" s="3">
        <v>9432</v>
      </c>
      <c r="B2" s="3">
        <f>_xll.RssMarket(A2,"現在値")</f>
        <v>151.80000000000001</v>
      </c>
      <c r="C2" s="5">
        <f>_xll.RssMarket(A2,"出来高")</f>
        <v>278152000</v>
      </c>
      <c r="D2" s="6">
        <f>_xll.RssMarket(A2,"前日終値")</f>
        <v>149.6</v>
      </c>
      <c r="E2" s="3"/>
      <c r="F2" s="3"/>
      <c r="G2" s="3" t="s">
        <v>17</v>
      </c>
      <c r="H2" s="7">
        <v>46159.815868055557</v>
      </c>
      <c r="I2" s="3" t="s">
        <v>6</v>
      </c>
      <c r="J2" s="3" t="s">
        <v>7</v>
      </c>
    </row>
    <row r="3" spans="1:10" x14ac:dyDescent="0.45">
      <c r="A3" s="3">
        <v>8306</v>
      </c>
      <c r="B3" s="3">
        <f>_xll.RssMarket(A3,"現在値")</f>
        <v>2929</v>
      </c>
      <c r="C3" s="5">
        <f>_xll.RssMarket(A3,"出来高")</f>
        <v>47220900</v>
      </c>
      <c r="D3" s="6">
        <f>_xll.RssMarket(A3,"前日終値")</f>
        <v>2877</v>
      </c>
      <c r="E3" s="3"/>
      <c r="F3" s="3"/>
      <c r="G3" s="3" t="s">
        <v>17</v>
      </c>
      <c r="H3" s="7">
        <v>46159.815868055557</v>
      </c>
      <c r="I3" s="3" t="s">
        <v>8</v>
      </c>
      <c r="J3" s="3" t="s">
        <v>9</v>
      </c>
    </row>
    <row r="4" spans="1:10" x14ac:dyDescent="0.45">
      <c r="A4" s="3">
        <v>7267</v>
      </c>
      <c r="B4" s="3">
        <f>_xll.RssMarket(A4,"現在値")</f>
        <v>1430</v>
      </c>
      <c r="C4" s="5">
        <f>_xll.RssMarket(A4,"出来高")</f>
        <v>54232300</v>
      </c>
      <c r="D4" s="6">
        <f>_xll.RssMarket(A4,"前日終値")</f>
        <v>1320</v>
      </c>
      <c r="E4" s="3"/>
      <c r="F4" s="3"/>
      <c r="G4" s="3" t="s">
        <v>17</v>
      </c>
      <c r="H4" s="7">
        <v>46159.815868055557</v>
      </c>
      <c r="I4" s="3" t="s">
        <v>10</v>
      </c>
      <c r="J4" s="3" t="s">
        <v>11</v>
      </c>
    </row>
    <row r="5" spans="1:10" x14ac:dyDescent="0.45">
      <c r="A5" s="3">
        <v>4503</v>
      </c>
      <c r="B5" s="3">
        <f>_xll.RssMarket(A5,"現在値")</f>
        <v>2324.5</v>
      </c>
      <c r="C5" s="5">
        <f>_xll.RssMarket(A5,"出来高")</f>
        <v>5823400</v>
      </c>
      <c r="D5" s="6">
        <f>_xll.RssMarket(A5,"前日終値")</f>
        <v>2367.5</v>
      </c>
      <c r="E5" s="3"/>
      <c r="F5" s="3"/>
      <c r="G5" s="3" t="s">
        <v>17</v>
      </c>
      <c r="H5" s="7">
        <v>46159.815868055557</v>
      </c>
      <c r="I5" s="3" t="s">
        <v>12</v>
      </c>
      <c r="J5" s="3" t="s">
        <v>13</v>
      </c>
    </row>
    <row r="6" spans="1:10" x14ac:dyDescent="0.45">
      <c r="A6" s="3">
        <v>7182</v>
      </c>
      <c r="B6" s="3">
        <f>_xll.RssMarket(A6,"現在値")</f>
        <v>2829</v>
      </c>
      <c r="C6" s="5">
        <f>_xll.RssMarket(A6,"出来高")</f>
        <v>8438700</v>
      </c>
      <c r="D6" s="6">
        <f>_xll.RssMarket(A6,"前日終値")</f>
        <v>2835.5</v>
      </c>
      <c r="E6" s="3"/>
      <c r="F6" s="3"/>
      <c r="G6" s="3" t="s">
        <v>17</v>
      </c>
      <c r="H6" s="7">
        <v>46159.815868055557</v>
      </c>
      <c r="I6" s="3" t="s">
        <v>14</v>
      </c>
      <c r="J6" s="3" t="s">
        <v>15</v>
      </c>
    </row>
    <row r="7" spans="1:10" x14ac:dyDescent="0.45">
      <c r="A7" s="3"/>
      <c r="B7" s="3"/>
      <c r="C7" s="4"/>
      <c r="D7" s="3"/>
      <c r="E7" s="3"/>
      <c r="F7" s="3"/>
      <c r="G7" s="3"/>
      <c r="H7" s="3"/>
      <c r="I7" s="3"/>
      <c r="J7" s="3"/>
    </row>
    <row r="8" spans="1:10" x14ac:dyDescent="0.45">
      <c r="A8" s="3"/>
      <c r="B8" s="3"/>
      <c r="C8" s="4"/>
      <c r="D8" s="3"/>
      <c r="E8" s="3"/>
      <c r="F8" s="3"/>
      <c r="G8" s="3"/>
      <c r="H8" s="3"/>
      <c r="I8" s="3"/>
      <c r="J8" s="3"/>
    </row>
    <row r="9" spans="1:10" x14ac:dyDescent="0.45">
      <c r="A9" s="3"/>
      <c r="B9" s="3"/>
      <c r="C9" s="4"/>
      <c r="D9" s="3"/>
      <c r="E9" s="3"/>
      <c r="F9" s="3"/>
      <c r="G9" s="3"/>
      <c r="H9" s="3"/>
      <c r="I9" s="3"/>
      <c r="J9" s="3"/>
    </row>
    <row r="10" spans="1:10" x14ac:dyDescent="0.45">
      <c r="A10" s="3"/>
      <c r="B10" s="3"/>
      <c r="C10" s="4"/>
      <c r="D10" s="3"/>
      <c r="E10" s="3"/>
      <c r="F10" s="3"/>
      <c r="G10" s="3"/>
      <c r="H10" s="3"/>
      <c r="I10" s="3"/>
      <c r="J10" s="3"/>
    </row>
    <row r="11" spans="1:10" x14ac:dyDescent="0.45">
      <c r="A11" s="3"/>
      <c r="B11" s="3"/>
      <c r="C11" s="4"/>
      <c r="D11" s="3"/>
      <c r="E11" s="3"/>
      <c r="F11" s="3"/>
      <c r="G11" s="3"/>
      <c r="H11" s="3"/>
      <c r="I11" s="3"/>
      <c r="J11" s="3"/>
    </row>
    <row r="12" spans="1:10" x14ac:dyDescent="0.45">
      <c r="A12" s="3"/>
      <c r="B12" s="3"/>
      <c r="C12" s="4"/>
      <c r="D12" s="3"/>
      <c r="E12" s="3"/>
      <c r="F12" s="3"/>
      <c r="G12" s="3"/>
      <c r="H12" s="3"/>
      <c r="I12" s="3"/>
      <c r="J12" s="3"/>
    </row>
  </sheetData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tartAutoTrader">
                <anchor moveWithCells="1">
                  <from>
                    <xdr:col>0</xdr:col>
                    <xdr:colOff>30480</xdr:colOff>
                    <xdr:row>11</xdr:row>
                    <xdr:rowOff>205740</xdr:rowOff>
                  </from>
                  <to>
                    <xdr:col>1</xdr:col>
                    <xdr:colOff>22860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StopAutoTrader">
                <anchor moveWithCells="1">
                  <from>
                    <xdr:col>1</xdr:col>
                    <xdr:colOff>365760</xdr:colOff>
                    <xdr:row>11</xdr:row>
                    <xdr:rowOff>220980</xdr:rowOff>
                  </from>
                  <to>
                    <xdr:col>2</xdr:col>
                    <xdr:colOff>259080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"/>
  <sheetViews>
    <sheetView workbookViewId="0">
      <selection activeCell="E10" sqref="E10"/>
    </sheetView>
  </sheetViews>
  <sheetFormatPr defaultRowHeight="18" x14ac:dyDescent="0.45"/>
  <cols>
    <col min="1" max="1" width="8.796875" style="1" customWidth="1"/>
    <col min="2" max="16384" width="8.796875" style="1"/>
  </cols>
  <sheetData>
    <row r="1" spans="2:2" x14ac:dyDescent="0.45">
      <c r="B1" s="2">
        <v>250000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"/>
  <sheetViews>
    <sheetView workbookViewId="0">
      <selection activeCell="F16" sqref="F16"/>
    </sheetView>
  </sheetViews>
  <sheetFormatPr defaultRowHeight="18" x14ac:dyDescent="0.45"/>
  <cols>
    <col min="1" max="1" width="10.3984375" style="8" bestFit="1" customWidth="1"/>
    <col min="2" max="3" width="6.796875" style="8" bestFit="1" customWidth="1"/>
    <col min="4" max="4" width="13.5" style="8" bestFit="1" customWidth="1"/>
    <col min="5" max="5" width="6.19921875" style="8" bestFit="1" customWidth="1"/>
    <col min="6" max="6" width="8.59765625" style="8" bestFit="1" customWidth="1"/>
    <col min="7" max="7" width="6.69921875" style="8" bestFit="1" customWidth="1"/>
    <col min="8" max="8" width="8.59765625" style="8" bestFit="1" customWidth="1"/>
  </cols>
  <sheetData>
    <row r="1" spans="2:2" s="1" customFormat="1" x14ac:dyDescent="0.45">
      <c r="B1" s="1" t="s">
        <v>16</v>
      </c>
    </row>
  </sheetData>
  <phoneticPr fontId="1"/>
  <pageMargins left="0.7" right="0.7" top="0.75" bottom="0.75" header="0.3" footer="0.3"/>
  <pageSetup paperSize="9" orientation="portrait" horizontalDpi="4294967293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WatchList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サトシ ハチヤ</dc:creator>
  <cp:lastModifiedBy>サトシ ハチヤ</cp:lastModifiedBy>
  <dcterms:created xsi:type="dcterms:W3CDTF">2026-05-12T14:48:54Z</dcterms:created>
  <dcterms:modified xsi:type="dcterms:W3CDTF">2026-05-17T10:34:53Z</dcterms:modified>
</cp:coreProperties>
</file>