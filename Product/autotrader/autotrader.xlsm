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csa\Desktop\"/>
    </mc:Choice>
  </mc:AlternateContent>
  <xr:revisionPtr revIDLastSave="0" documentId="13_ncr:1_{B705FB4D-C2F7-42C0-8644-F6EE055D4837}" xr6:coauthVersionLast="47" xr6:coauthVersionMax="47" xr10:uidLastSave="{00000000-0000-0000-0000-000000000000}"/>
  <bookViews>
    <workbookView xWindow="-108" yWindow="-108" windowWidth="23256" windowHeight="12456" xr2:uid="{F28CDF28-AFAA-4BA5-81CB-0DCE2F00CD2F}"/>
  </bookViews>
  <sheets>
    <sheet name="WatchList" sheetId="1" r:id="rId1"/>
    <sheet name="Config" sheetId="2" r:id="rId2"/>
    <sheet name="Secure" sheetId="3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B6" i="1"/>
  <c r="D5" i="1"/>
  <c r="C5" i="1"/>
  <c r="B5" i="1"/>
  <c r="D4" i="1"/>
  <c r="C4" i="1"/>
  <c r="B4" i="1"/>
  <c r="D3" i="1"/>
  <c r="C3" i="1"/>
  <c r="B3" i="1"/>
  <c r="D2" i="1"/>
  <c r="B2" i="1"/>
  <c r="C2" i="1"/>
</calcChain>
</file>

<file path=xl/sharedStrings.xml><?xml version="1.0" encoding="utf-8"?>
<sst xmlns="http://schemas.openxmlformats.org/spreadsheetml/2006/main" count="22" uniqueCount="18">
  <si>
    <t>銘柄コード</t>
    <rPh sb="0" eb="2">
      <t>メイガラ</t>
    </rPh>
    <phoneticPr fontId="1"/>
  </si>
  <si>
    <t>現在地</t>
    <rPh sb="0" eb="3">
      <t>ゲンザイチ</t>
    </rPh>
    <phoneticPr fontId="1"/>
  </si>
  <si>
    <t>出来高</t>
    <rPh sb="0" eb="3">
      <t>デキダカ</t>
    </rPh>
    <phoneticPr fontId="1"/>
  </si>
  <si>
    <t>前日終値</t>
    <rPh sb="0" eb="2">
      <t>ゼンジツ</t>
    </rPh>
    <rPh sb="2" eb="4">
      <t>オワリネ</t>
    </rPh>
    <phoneticPr fontId="1"/>
  </si>
  <si>
    <t>AI判断</t>
    <rPh sb="2" eb="4">
      <t>ハンダン</t>
    </rPh>
    <phoneticPr fontId="1"/>
  </si>
  <si>
    <t>更新時刻</t>
    <rPh sb="0" eb="2">
      <t>コウシン</t>
    </rPh>
    <rPh sb="2" eb="4">
      <t>ジコク</t>
    </rPh>
    <phoneticPr fontId="1"/>
  </si>
  <si>
    <t>20206C77</t>
    <phoneticPr fontId="1"/>
  </si>
  <si>
    <t>hold</t>
    <phoneticPr fontId="1"/>
  </si>
  <si>
    <t>NTT</t>
    <phoneticPr fontId="1"/>
  </si>
  <si>
    <t>三菱UFJ</t>
    <phoneticPr fontId="1"/>
  </si>
  <si>
    <t>ホンダ</t>
    <phoneticPr fontId="1"/>
  </si>
  <si>
    <t>アステラス製薬</t>
    <phoneticPr fontId="1"/>
  </si>
  <si>
    <t>ゆうちょ銀行</t>
    <phoneticPr fontId="1"/>
  </si>
  <si>
    <t>超流動性・安定・守りの銘柄</t>
    <phoneticPr fontId="1"/>
  </si>
  <si>
    <t>出来高トップクラスの銀行株</t>
    <phoneticPr fontId="1"/>
  </si>
  <si>
    <t>自動車・値動きが素直</t>
    <phoneticPr fontId="1"/>
  </si>
  <si>
    <t>製薬・比較的安定</t>
    <phoneticPr fontId="1"/>
  </si>
  <si>
    <t>銀行・ボラティリティ低め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</si>
</sst>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/d\ h:mm:ss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c3dd29c363d4403b1aac0daca0c39aa">
      <tp>
        <v>2841.5</v>
        <stp/>
        <stp>Market</stp>
        <stp>STOCK</stp>
        <stp>71820.T</stp>
        <stp>前日終値</stp>
        <tr r="D6" s="1"/>
      </tp>
    </main>
    <main first="rtdsrv.ec3dd29c363d4403b1aac0daca0c39aa">
      <tp>
        <v>2886</v>
        <stp/>
        <stp>Market</stp>
        <stp>STOCK</stp>
        <stp>83060.T</stp>
        <stp>前日終値</stp>
        <tr r="D3" s="1"/>
      </tp>
      <tp>
        <v>1255.5</v>
        <stp/>
        <stp>Market</stp>
        <stp>STOCK</stp>
        <stp>72670.T</stp>
        <stp>前日終値</stp>
        <tr r="D4" s="1"/>
      </tp>
      <tp>
        <v>2328</v>
        <stp/>
        <stp>Market</stp>
        <stp>STOCK</stp>
        <stp>45030.T</stp>
        <stp>前日終値</stp>
        <tr r="D5" s="1"/>
      </tp>
    </main>
    <main first="rtdsrv.ec3dd29c363d4403b1aac0daca0c39aa">
      <tp>
        <v>149.4</v>
        <stp/>
        <stp>Market</stp>
        <stp>STOCK</stp>
        <stp>94320.T</stp>
        <stp>前日終値</stp>
        <tr r="D2" s="1"/>
      </tp>
      <tp>
        <v>89711200</v>
        <stp/>
        <stp>Market</stp>
        <stp>STOCK</stp>
        <stp>94320.T</stp>
        <stp>出来高</stp>
        <tr r="C2" s="1"/>
      </tp>
      <tp>
        <v>18510400</v>
        <stp/>
        <stp>Market</stp>
        <stp>STOCK</stp>
        <stp>83060.T</stp>
        <stp>出来高</stp>
        <tr r="C3" s="1"/>
      </tp>
      <tp>
        <v>11041500</v>
        <stp/>
        <stp>Market</stp>
        <stp>STOCK</stp>
        <stp>72670.T</stp>
        <stp>出来高</stp>
        <tr r="C4" s="1"/>
      </tp>
      <tp>
        <v>2235900</v>
        <stp/>
        <stp>Market</stp>
        <stp>STOCK</stp>
        <stp>71820.T</stp>
        <stp>出来高</stp>
        <tr r="C6" s="1"/>
      </tp>
      <tp>
        <v>2493800</v>
        <stp/>
        <stp>Market</stp>
        <stp>STOCK</stp>
        <stp>45030.T</stp>
        <stp>出来高</stp>
        <tr r="C5" s="1"/>
      </tp>
      <tp>
        <v>65270</v>
        <stp/>
        <stp>Market</stp>
        <stp>STOCK</stp>
        <stp>15700.T</stp>
        <stp>現在値</stp>
        <tr r="B2" s="1"/>
        <tr r="B3" s="1"/>
        <tr r="B4" s="1"/>
        <tr r="B5" s="1"/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11</xdr:row>
          <xdr:rowOff>205740</xdr:rowOff>
        </xdr:from>
        <xdr:to>
          <xdr:col>1</xdr:col>
          <xdr:colOff>22860</xdr:colOff>
          <xdr:row>13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▶スタート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</xdr:row>
          <xdr:rowOff>220980</xdr:rowOff>
        </xdr:from>
        <xdr:to>
          <xdr:col>2</xdr:col>
          <xdr:colOff>259080</xdr:colOff>
          <xdr:row>13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■停止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13D7F-00C3-4155-A2F2-094319C7CDAD}">
  <sheetPr codeName="Sheet1"/>
  <dimension ref="A1:J12"/>
  <sheetViews>
    <sheetView tabSelected="1" workbookViewId="0">
      <selection activeCell="D17" sqref="D17"/>
    </sheetView>
  </sheetViews>
  <sheetFormatPr defaultRowHeight="18" x14ac:dyDescent="0.45"/>
  <cols>
    <col min="1" max="1" width="10.3984375" style="1" bestFit="1" customWidth="1"/>
    <col min="2" max="2" width="8.796875" style="1"/>
    <col min="3" max="3" width="9.3984375" style="1" bestFit="1" customWidth="1"/>
    <col min="4" max="4" width="8.59765625" style="1" bestFit="1" customWidth="1"/>
    <col min="5" max="7" width="8.796875" style="1"/>
    <col min="8" max="8" width="26.8984375" style="1" customWidth="1"/>
    <col min="9" max="9" width="14.3984375" style="1" bestFit="1" customWidth="1"/>
    <col min="10" max="10" width="26.09765625" style="1" bestFit="1" customWidth="1"/>
    <col min="11" max="16384" width="8.796875" style="1"/>
  </cols>
  <sheetData>
    <row r="1" spans="1:10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/>
      <c r="H1" s="3"/>
      <c r="I1" s="3"/>
      <c r="J1" s="3"/>
    </row>
    <row r="2" spans="1:10" x14ac:dyDescent="0.45">
      <c r="A2" s="3">
        <v>9432</v>
      </c>
      <c r="B2" s="3">
        <f>_xll.RssMarket("1570","現在値")</f>
        <v>65270</v>
      </c>
      <c r="C2" s="3">
        <f>_xll.RssMarket(A2,"出来高")</f>
        <v>89711200</v>
      </c>
      <c r="D2" s="3">
        <f>_xll.RssMarket(A2,"前日終値")</f>
        <v>149.4</v>
      </c>
      <c r="E2" s="3"/>
      <c r="F2" s="3"/>
      <c r="G2" s="3" t="s">
        <v>7</v>
      </c>
      <c r="H2" s="4">
        <v>46155.479131944441</v>
      </c>
      <c r="I2" s="3" t="s">
        <v>8</v>
      </c>
      <c r="J2" s="3" t="s">
        <v>13</v>
      </c>
    </row>
    <row r="3" spans="1:10" x14ac:dyDescent="0.45">
      <c r="A3" s="3">
        <v>8306</v>
      </c>
      <c r="B3" s="3">
        <f>_xll.RssMarket("1570","現在値")</f>
        <v>65270</v>
      </c>
      <c r="C3" s="3">
        <f>_xll.RssMarket(A3,"出来高")</f>
        <v>18510400</v>
      </c>
      <c r="D3" s="3">
        <f>_xll.RssMarket(A3,"前日終値")</f>
        <v>2886</v>
      </c>
      <c r="E3" s="3"/>
      <c r="F3" s="3"/>
      <c r="G3" s="3" t="s">
        <v>7</v>
      </c>
      <c r="H3" s="4">
        <v>46155.479131944441</v>
      </c>
      <c r="I3" s="3" t="s">
        <v>9</v>
      </c>
      <c r="J3" s="3" t="s">
        <v>14</v>
      </c>
    </row>
    <row r="4" spans="1:10" x14ac:dyDescent="0.45">
      <c r="A4" s="3">
        <v>7267</v>
      </c>
      <c r="B4" s="3">
        <f>_xll.RssMarket("1570","現在値")</f>
        <v>65270</v>
      </c>
      <c r="C4" s="3">
        <f>_xll.RssMarket(A4,"出来高")</f>
        <v>11041500</v>
      </c>
      <c r="D4" s="3">
        <f>_xll.RssMarket(A4,"前日終値")</f>
        <v>1255.5</v>
      </c>
      <c r="E4" s="3"/>
      <c r="F4" s="3"/>
      <c r="G4" s="3" t="s">
        <v>7</v>
      </c>
      <c r="H4" s="4">
        <v>46155.479131944441</v>
      </c>
      <c r="I4" s="3" t="s">
        <v>10</v>
      </c>
      <c r="J4" s="3" t="s">
        <v>15</v>
      </c>
    </row>
    <row r="5" spans="1:10" x14ac:dyDescent="0.45">
      <c r="A5" s="3">
        <v>4503</v>
      </c>
      <c r="B5" s="3">
        <f>_xll.RssMarket("1570","現在値")</f>
        <v>65270</v>
      </c>
      <c r="C5" s="3">
        <f>_xll.RssMarket(A5,"出来高")</f>
        <v>2493800</v>
      </c>
      <c r="D5" s="3">
        <f>_xll.RssMarket(A5,"前日終値")</f>
        <v>2328</v>
      </c>
      <c r="E5" s="3"/>
      <c r="F5" s="3"/>
      <c r="G5" s="3" t="s">
        <v>7</v>
      </c>
      <c r="H5" s="4">
        <v>46155.479131944441</v>
      </c>
      <c r="I5" s="3" t="s">
        <v>11</v>
      </c>
      <c r="J5" s="3" t="s">
        <v>16</v>
      </c>
    </row>
    <row r="6" spans="1:10" x14ac:dyDescent="0.45">
      <c r="A6" s="3">
        <v>7182</v>
      </c>
      <c r="B6" s="3">
        <f>_xll.RssMarket("1570","現在値")</f>
        <v>65270</v>
      </c>
      <c r="C6" s="3">
        <f>_xll.RssMarket(A6,"出来高")</f>
        <v>2235900</v>
      </c>
      <c r="D6" s="3">
        <f>_xll.RssMarket(A6,"前日終値")</f>
        <v>2841.5</v>
      </c>
      <c r="E6" s="3"/>
      <c r="F6" s="3"/>
      <c r="G6" s="3" t="s">
        <v>7</v>
      </c>
      <c r="H6" s="4">
        <v>46155.479131944441</v>
      </c>
      <c r="I6" s="3" t="s">
        <v>12</v>
      </c>
      <c r="J6" s="3" t="s">
        <v>17</v>
      </c>
    </row>
    <row r="7" spans="1:10" x14ac:dyDescent="0.45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x14ac:dyDescent="0.45">
      <c r="A8" s="3"/>
      <c r="B8" s="3"/>
      <c r="C8" s="3"/>
      <c r="D8" s="3"/>
      <c r="E8" s="3"/>
      <c r="F8" s="3"/>
      <c r="G8" s="3"/>
      <c r="H8" s="3"/>
      <c r="I8" s="3"/>
      <c r="J8" s="3"/>
    </row>
    <row r="9" spans="1:10" x14ac:dyDescent="0.45">
      <c r="A9" s="3"/>
      <c r="B9" s="3"/>
      <c r="C9" s="3"/>
      <c r="D9" s="3"/>
      <c r="E9" s="3"/>
      <c r="F9" s="3"/>
      <c r="G9" s="3"/>
      <c r="H9" s="3"/>
      <c r="I9" s="3"/>
      <c r="J9" s="3"/>
    </row>
    <row r="10" spans="1:1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1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</row>
    <row r="12" spans="1:1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tartAutoTrader">
                <anchor moveWithCells="1">
                  <from>
                    <xdr:col>0</xdr:col>
                    <xdr:colOff>30480</xdr:colOff>
                    <xdr:row>11</xdr:row>
                    <xdr:rowOff>205740</xdr:rowOff>
                  </from>
                  <to>
                    <xdr:col>1</xdr:col>
                    <xdr:colOff>22860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topAutoTrader">
                <anchor moveWithCells="1">
                  <from>
                    <xdr:col>1</xdr:col>
                    <xdr:colOff>365760</xdr:colOff>
                    <xdr:row>11</xdr:row>
                    <xdr:rowOff>220980</xdr:rowOff>
                  </from>
                  <to>
                    <xdr:col>2</xdr:col>
                    <xdr:colOff>259080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1C2-0D51-4479-8BDA-8EE84343F1A6}">
  <sheetPr codeName="Sheet2"/>
  <dimension ref="B1"/>
  <sheetViews>
    <sheetView workbookViewId="0">
      <selection activeCell="B1" sqref="B1"/>
    </sheetView>
  </sheetViews>
  <sheetFormatPr defaultRowHeight="18" x14ac:dyDescent="0.45"/>
  <cols>
    <col min="1" max="16384" width="8.796875" style="1"/>
  </cols>
  <sheetData>
    <row r="1" spans="2:2" x14ac:dyDescent="0.45">
      <c r="B1" s="2">
        <v>500000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41D2-DC5B-4A3A-8770-DDD21BB5376D}">
  <sheetPr codeName="Sheet3"/>
  <dimension ref="B1"/>
  <sheetViews>
    <sheetView workbookViewId="0">
      <selection activeCell="F16" sqref="F16"/>
    </sheetView>
  </sheetViews>
  <sheetFormatPr defaultRowHeight="18" x14ac:dyDescent="0.45"/>
  <cols>
    <col min="1" max="1" width="10.3984375" bestFit="1" customWidth="1"/>
    <col min="2" max="3" width="6.796875" bestFit="1" customWidth="1"/>
    <col min="4" max="4" width="13.5" bestFit="1" customWidth="1"/>
    <col min="5" max="5" width="6.19921875" bestFit="1" customWidth="1"/>
    <col min="6" max="6" width="8.59765625" bestFit="1" customWidth="1"/>
    <col min="7" max="7" width="6.69921875" bestFit="1" customWidth="1"/>
    <col min="8" max="8" width="8.59765625" bestFit="1" customWidth="1"/>
  </cols>
  <sheetData>
    <row r="1" spans="2:2" s="1" customFormat="1" x14ac:dyDescent="0.45">
      <c r="B1" s="1" t="s">
        <v>6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WatchList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サトシ ハチヤ</dc:creator>
  <cp:lastModifiedBy>サトシ ハチヤ</cp:lastModifiedBy>
  <dcterms:created xsi:type="dcterms:W3CDTF">2026-05-12T14:48:54Z</dcterms:created>
  <dcterms:modified xsi:type="dcterms:W3CDTF">2026-05-13T02:32:12Z</dcterms:modified>
</cp:coreProperties>
</file>